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Dropbox\DATA-DB\WORK\CCD Controller 2nd\202610 CCD 전자부 교체\20260818 FITS spec 검토\"/>
    </mc:Choice>
  </mc:AlternateContent>
  <xr:revisionPtr revIDLastSave="0" documentId="8_{38FBF668-A259-48F9-89AA-09E734A8C475}" xr6:coauthVersionLast="47" xr6:coauthVersionMax="47" xr10:uidLastSave="{00000000-0000-0000-0000-000000000000}"/>
  <bookViews>
    <workbookView xWindow="9470" yWindow="5060" windowWidth="28800" windowHeight="15360" xr2:uid="{E65294F8-2879-4DFB-AB60-23678CC22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6" i="1"/>
  <c r="D4" i="1"/>
  <c r="D2" i="1"/>
  <c r="C16" i="1"/>
  <c r="C24" i="1" s="1"/>
  <c r="C15" i="1"/>
  <c r="C14" i="1"/>
  <c r="C22" i="1" s="1"/>
  <c r="C13" i="1"/>
  <c r="C12" i="1"/>
  <c r="C20" i="1" s="1"/>
  <c r="C28" i="1" s="1"/>
  <c r="C11" i="1"/>
  <c r="C10" i="1"/>
  <c r="C18" i="1" s="1"/>
  <c r="C26" i="1" s="1"/>
  <c r="J4" i="1"/>
  <c r="J2" i="1"/>
  <c r="K2" i="1" s="1"/>
  <c r="E2" i="1" l="1"/>
  <c r="E6" i="1"/>
  <c r="C19" i="1"/>
  <c r="D18" i="1" s="1"/>
  <c r="D10" i="1"/>
  <c r="C23" i="1"/>
  <c r="D14" i="1"/>
  <c r="D12" i="1"/>
  <c r="C21" i="1"/>
  <c r="D20" i="1" s="1"/>
  <c r="C30" i="1"/>
  <c r="C32" i="1"/>
  <c r="C17" i="1"/>
  <c r="C31" i="1" l="1"/>
  <c r="D30" i="1" s="1"/>
  <c r="D22" i="1"/>
  <c r="E10" i="1"/>
  <c r="E18" i="1"/>
  <c r="F2" i="1"/>
  <c r="C29" i="1"/>
  <c r="D28" i="1" s="1"/>
  <c r="C25" i="1"/>
  <c r="D24" i="1" s="1"/>
  <c r="D16" i="1"/>
  <c r="E14" i="1" s="1"/>
  <c r="F10" i="1" s="1"/>
  <c r="C27" i="1"/>
  <c r="D26" i="1" s="1"/>
  <c r="E26" i="1" s="1"/>
  <c r="E22" i="1" l="1"/>
  <c r="F18" i="1" s="1"/>
  <c r="G2" i="1" s="1"/>
  <c r="C33" i="1"/>
  <c r="D32" i="1" s="1"/>
  <c r="E30" i="1" s="1"/>
  <c r="F26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4B69-C32C-427F-AD44-EA1C70FEFD79}">
  <dimension ref="C2:K33"/>
  <sheetViews>
    <sheetView tabSelected="1" workbookViewId="0">
      <selection activeCell="K9" sqref="K9"/>
    </sheetView>
  </sheetViews>
  <sheetFormatPr defaultRowHeight="17" x14ac:dyDescent="0.45"/>
  <sheetData>
    <row r="2" spans="3:11" x14ac:dyDescent="0.45">
      <c r="C2">
        <v>0</v>
      </c>
      <c r="D2" s="1">
        <f>C3-C2+1</f>
        <v>16</v>
      </c>
      <c r="E2" s="1">
        <f>D2+D4</f>
        <v>528</v>
      </c>
      <c r="F2" s="1">
        <f>E2+E6</f>
        <v>1056</v>
      </c>
      <c r="G2" s="1">
        <f>SUM(F2:F33)</f>
        <v>4224</v>
      </c>
      <c r="I2">
        <v>0</v>
      </c>
      <c r="J2" s="1">
        <f>I3-I2+1</f>
        <v>1024</v>
      </c>
      <c r="K2" s="1">
        <f>J2+J4</f>
        <v>1033</v>
      </c>
    </row>
    <row r="3" spans="3:11" x14ac:dyDescent="0.45">
      <c r="C3">
        <v>15</v>
      </c>
      <c r="D3" s="1"/>
      <c r="E3" s="1"/>
      <c r="F3" s="1"/>
      <c r="G3" s="1"/>
      <c r="I3">
        <v>1023</v>
      </c>
      <c r="J3" s="1"/>
      <c r="K3" s="1"/>
    </row>
    <row r="4" spans="3:11" x14ac:dyDescent="0.45">
      <c r="C4">
        <v>16</v>
      </c>
      <c r="D4" s="1">
        <f>C5-C4+1</f>
        <v>512</v>
      </c>
      <c r="E4" s="1"/>
      <c r="F4" s="1"/>
      <c r="G4" s="1"/>
      <c r="I4">
        <v>1024</v>
      </c>
      <c r="J4" s="1">
        <f>I5-I4+1</f>
        <v>9</v>
      </c>
      <c r="K4" s="1"/>
    </row>
    <row r="5" spans="3:11" x14ac:dyDescent="0.45">
      <c r="C5">
        <v>527</v>
      </c>
      <c r="D5" s="1"/>
      <c r="E5" s="1"/>
      <c r="F5" s="1"/>
      <c r="G5" s="1"/>
      <c r="I5">
        <v>1032</v>
      </c>
      <c r="J5" s="1"/>
      <c r="K5" s="1"/>
    </row>
    <row r="6" spans="3:11" x14ac:dyDescent="0.45">
      <c r="C6">
        <v>528</v>
      </c>
      <c r="D6" s="1">
        <f>C7-C6+1</f>
        <v>512</v>
      </c>
      <c r="E6" s="1">
        <f>D6+D8</f>
        <v>528</v>
      </c>
      <c r="F6" s="1"/>
      <c r="G6" s="1"/>
    </row>
    <row r="7" spans="3:11" x14ac:dyDescent="0.45">
      <c r="C7">
        <v>1039</v>
      </c>
      <c r="D7" s="1"/>
      <c r="E7" s="1"/>
      <c r="F7" s="1"/>
      <c r="G7" s="1"/>
    </row>
    <row r="8" spans="3:11" x14ac:dyDescent="0.45">
      <c r="C8">
        <v>1040</v>
      </c>
      <c r="D8" s="1">
        <f>C9-C8+1</f>
        <v>16</v>
      </c>
      <c r="E8" s="1"/>
      <c r="F8" s="1"/>
      <c r="G8" s="1"/>
    </row>
    <row r="9" spans="3:11" x14ac:dyDescent="0.45">
      <c r="C9">
        <v>1055</v>
      </c>
      <c r="D9" s="1"/>
      <c r="E9" s="1"/>
      <c r="F9" s="1"/>
      <c r="G9" s="1"/>
    </row>
    <row r="10" spans="3:11" x14ac:dyDescent="0.45">
      <c r="C10">
        <f>C2+1056</f>
        <v>1056</v>
      </c>
      <c r="D10" s="1">
        <f>C11-C10+1</f>
        <v>16</v>
      </c>
      <c r="E10" s="1">
        <f>D10+D12</f>
        <v>528</v>
      </c>
      <c r="F10" s="1">
        <f>E10+E14</f>
        <v>1056</v>
      </c>
      <c r="G10" s="1"/>
    </row>
    <row r="11" spans="3:11" x14ac:dyDescent="0.45">
      <c r="C11">
        <f t="shared" ref="C11:C17" si="0">C3+1056</f>
        <v>1071</v>
      </c>
      <c r="D11" s="1"/>
      <c r="E11" s="1"/>
      <c r="F11" s="1"/>
      <c r="G11" s="1"/>
    </row>
    <row r="12" spans="3:11" x14ac:dyDescent="0.45">
      <c r="C12">
        <f t="shared" si="0"/>
        <v>1072</v>
      </c>
      <c r="D12" s="1">
        <f>C13-C12+1</f>
        <v>512</v>
      </c>
      <c r="E12" s="1"/>
      <c r="F12" s="1"/>
      <c r="G12" s="1"/>
    </row>
    <row r="13" spans="3:11" x14ac:dyDescent="0.45">
      <c r="C13">
        <f t="shared" si="0"/>
        <v>1583</v>
      </c>
      <c r="D13" s="1"/>
      <c r="E13" s="1"/>
      <c r="F13" s="1"/>
      <c r="G13" s="1"/>
    </row>
    <row r="14" spans="3:11" x14ac:dyDescent="0.45">
      <c r="C14">
        <f t="shared" si="0"/>
        <v>1584</v>
      </c>
      <c r="D14" s="1">
        <f>C15-C14+1</f>
        <v>512</v>
      </c>
      <c r="E14" s="1">
        <f>D14+D16</f>
        <v>528</v>
      </c>
      <c r="F14" s="1"/>
      <c r="G14" s="1"/>
    </row>
    <row r="15" spans="3:11" x14ac:dyDescent="0.45">
      <c r="C15">
        <f t="shared" si="0"/>
        <v>2095</v>
      </c>
      <c r="D15" s="1"/>
      <c r="E15" s="1"/>
      <c r="F15" s="1"/>
      <c r="G15" s="1"/>
    </row>
    <row r="16" spans="3:11" x14ac:dyDescent="0.45">
      <c r="C16">
        <f t="shared" si="0"/>
        <v>2096</v>
      </c>
      <c r="D16" s="1">
        <f>C17-C16+1</f>
        <v>16</v>
      </c>
      <c r="E16" s="1"/>
      <c r="F16" s="1"/>
      <c r="G16" s="1"/>
    </row>
    <row r="17" spans="3:7" x14ac:dyDescent="0.45">
      <c r="C17">
        <f t="shared" si="0"/>
        <v>2111</v>
      </c>
      <c r="D17" s="1"/>
      <c r="E17" s="1"/>
      <c r="F17" s="1"/>
      <c r="G17" s="1"/>
    </row>
    <row r="18" spans="3:7" x14ac:dyDescent="0.45">
      <c r="C18">
        <f>C10+1056</f>
        <v>2112</v>
      </c>
      <c r="D18" s="1">
        <f>C19-C18+1</f>
        <v>16</v>
      </c>
      <c r="E18" s="1">
        <f>D18+D20</f>
        <v>528</v>
      </c>
      <c r="F18" s="1">
        <f>E18+E22</f>
        <v>1056</v>
      </c>
      <c r="G18" s="1"/>
    </row>
    <row r="19" spans="3:7" x14ac:dyDescent="0.45">
      <c r="C19">
        <f>C11+1056</f>
        <v>2127</v>
      </c>
      <c r="D19" s="1"/>
      <c r="E19" s="1"/>
      <c r="F19" s="1"/>
      <c r="G19" s="1"/>
    </row>
    <row r="20" spans="3:7" x14ac:dyDescent="0.45">
      <c r="C20">
        <f>C12+1056</f>
        <v>2128</v>
      </c>
      <c r="D20" s="1">
        <f>C21-C20+1</f>
        <v>512</v>
      </c>
      <c r="E20" s="1"/>
      <c r="F20" s="1"/>
      <c r="G20" s="1"/>
    </row>
    <row r="21" spans="3:7" x14ac:dyDescent="0.45">
      <c r="C21">
        <f>C13+1056</f>
        <v>2639</v>
      </c>
      <c r="D21" s="1"/>
      <c r="E21" s="1"/>
      <c r="F21" s="1"/>
      <c r="G21" s="1"/>
    </row>
    <row r="22" spans="3:7" x14ac:dyDescent="0.45">
      <c r="C22">
        <f>C14+1056</f>
        <v>2640</v>
      </c>
      <c r="D22" s="1">
        <f>C23-C22+1</f>
        <v>512</v>
      </c>
      <c r="E22" s="1">
        <f>D22+D24</f>
        <v>528</v>
      </c>
      <c r="F22" s="1"/>
      <c r="G22" s="1"/>
    </row>
    <row r="23" spans="3:7" x14ac:dyDescent="0.45">
      <c r="C23">
        <f>C15+1056</f>
        <v>3151</v>
      </c>
      <c r="D23" s="1"/>
      <c r="E23" s="1"/>
      <c r="F23" s="1"/>
      <c r="G23" s="1"/>
    </row>
    <row r="24" spans="3:7" x14ac:dyDescent="0.45">
      <c r="C24">
        <f>C16+1056</f>
        <v>3152</v>
      </c>
      <c r="D24" s="1">
        <f>C25-C24+1</f>
        <v>16</v>
      </c>
      <c r="E24" s="1"/>
      <c r="F24" s="1"/>
      <c r="G24" s="1"/>
    </row>
    <row r="25" spans="3:7" x14ac:dyDescent="0.45">
      <c r="C25">
        <f>C17+1056</f>
        <v>3167</v>
      </c>
      <c r="D25" s="1"/>
      <c r="E25" s="1"/>
      <c r="F25" s="1"/>
      <c r="G25" s="1"/>
    </row>
    <row r="26" spans="3:7" x14ac:dyDescent="0.45">
      <c r="C26">
        <f>C18+1056</f>
        <v>3168</v>
      </c>
      <c r="D26" s="1">
        <f>C27-C26+1</f>
        <v>16</v>
      </c>
      <c r="E26" s="1">
        <f>D26+D28</f>
        <v>528</v>
      </c>
      <c r="F26" s="1">
        <f>E26+E30</f>
        <v>1056</v>
      </c>
      <c r="G26" s="1"/>
    </row>
    <row r="27" spans="3:7" x14ac:dyDescent="0.45">
      <c r="C27">
        <f t="shared" ref="C27:C33" si="1">C19+1056</f>
        <v>3183</v>
      </c>
      <c r="D27" s="1"/>
      <c r="E27" s="1"/>
      <c r="F27" s="1"/>
      <c r="G27" s="1"/>
    </row>
    <row r="28" spans="3:7" x14ac:dyDescent="0.45">
      <c r="C28">
        <f t="shared" si="1"/>
        <v>3184</v>
      </c>
      <c r="D28" s="1">
        <f>C29-C28+1</f>
        <v>512</v>
      </c>
      <c r="E28" s="1"/>
      <c r="F28" s="1"/>
      <c r="G28" s="1"/>
    </row>
    <row r="29" spans="3:7" x14ac:dyDescent="0.45">
      <c r="C29">
        <f t="shared" si="1"/>
        <v>3695</v>
      </c>
      <c r="D29" s="1"/>
      <c r="E29" s="1"/>
      <c r="F29" s="1"/>
      <c r="G29" s="1"/>
    </row>
    <row r="30" spans="3:7" x14ac:dyDescent="0.45">
      <c r="C30">
        <f t="shared" si="1"/>
        <v>3696</v>
      </c>
      <c r="D30" s="1">
        <f>C31-C30+1</f>
        <v>512</v>
      </c>
      <c r="E30" s="1">
        <f>D30+D32</f>
        <v>528</v>
      </c>
      <c r="F30" s="1"/>
      <c r="G30" s="1"/>
    </row>
    <row r="31" spans="3:7" x14ac:dyDescent="0.45">
      <c r="C31">
        <f t="shared" si="1"/>
        <v>4207</v>
      </c>
      <c r="D31" s="1"/>
      <c r="E31" s="1"/>
      <c r="F31" s="1"/>
      <c r="G31" s="1"/>
    </row>
    <row r="32" spans="3:7" x14ac:dyDescent="0.45">
      <c r="C32">
        <f t="shared" si="1"/>
        <v>4208</v>
      </c>
      <c r="D32" s="1">
        <f>C33-C32+1</f>
        <v>16</v>
      </c>
      <c r="E32" s="1"/>
      <c r="F32" s="1"/>
      <c r="G32" s="1"/>
    </row>
    <row r="33" spans="3:7" x14ac:dyDescent="0.45">
      <c r="C33">
        <f t="shared" si="1"/>
        <v>4223</v>
      </c>
      <c r="D33" s="1"/>
      <c r="E33" s="1"/>
      <c r="F33" s="1"/>
      <c r="G33" s="1"/>
    </row>
  </sheetData>
  <mergeCells count="32">
    <mergeCell ref="G2:G33"/>
    <mergeCell ref="J2:J3"/>
    <mergeCell ref="J4:J5"/>
    <mergeCell ref="K2:K5"/>
    <mergeCell ref="D26:D27"/>
    <mergeCell ref="E26:E29"/>
    <mergeCell ref="F26:F33"/>
    <mergeCell ref="D28:D29"/>
    <mergeCell ref="D30:D31"/>
    <mergeCell ref="E30:E33"/>
    <mergeCell ref="D32:D33"/>
    <mergeCell ref="D18:D19"/>
    <mergeCell ref="E18:E21"/>
    <mergeCell ref="F18:F25"/>
    <mergeCell ref="D20:D21"/>
    <mergeCell ref="D22:D23"/>
    <mergeCell ref="E22:E25"/>
    <mergeCell ref="D24:D25"/>
    <mergeCell ref="D2:D3"/>
    <mergeCell ref="E2:E5"/>
    <mergeCell ref="F2:F9"/>
    <mergeCell ref="D4:D5"/>
    <mergeCell ref="D6:D7"/>
    <mergeCell ref="E6:E9"/>
    <mergeCell ref="D8:D9"/>
    <mergeCell ref="D10:D11"/>
    <mergeCell ref="D12:D13"/>
    <mergeCell ref="D14:D15"/>
    <mergeCell ref="D16:D17"/>
    <mergeCell ref="E10:E13"/>
    <mergeCell ref="E14:E17"/>
    <mergeCell ref="F10:F17"/>
  </mergeCells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Sang-Mok Cha</dc:creator>
  <cp:lastModifiedBy>Sang-Mok Cha</cp:lastModifiedBy>
  <dcterms:created xsi:type="dcterms:W3CDTF">2026-08-30T02:55:45Z</dcterms:created>
  <dcterms:modified xsi:type="dcterms:W3CDTF">2026-08-30T03:05:41Z</dcterms:modified>
</cp:coreProperties>
</file>